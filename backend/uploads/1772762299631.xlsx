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A8337CD-2E9A-451F-B018-FD30452B75C2}" xr6:coauthVersionLast="47" xr6:coauthVersionMax="47" xr10:uidLastSave="{00000000-0000-0000-0000-000000000000}"/>
  <bookViews>
    <workbookView xWindow="-108" yWindow="-108" windowWidth="23256" windowHeight="12456" xr2:uid="{35E0F8D2-11EB-417C-9D73-323D2BF13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O3" i="1"/>
  <c r="N3" i="1" s="1"/>
  <c r="O2" i="1"/>
  <c r="N2" i="1" s="1"/>
  <c r="M2" i="1" l="1"/>
  <c r="M3" i="1"/>
</calcChain>
</file>

<file path=xl/sharedStrings.xml><?xml version="1.0" encoding="utf-8"?>
<sst xmlns="http://schemas.openxmlformats.org/spreadsheetml/2006/main" count="38" uniqueCount="19">
  <si>
    <t>IV</t>
  </si>
  <si>
    <t>PROGRAM PENYELENGGARAAN STATISTIK SEKTORAL</t>
  </si>
  <si>
    <t>Belanja Jasa Tenaga Terampil Pengolah Data Statistik</t>
  </si>
  <si>
    <t>Agus Kurniawan, S.Si., M.E</t>
  </si>
  <si>
    <t>E-Purchasing</t>
  </si>
  <si>
    <t>Jalan Pembangunan No. 185</t>
  </si>
  <si>
    <t>APBD</t>
  </si>
  <si>
    <t>Nurfahmi Zaynun</t>
  </si>
  <si>
    <t>1 (satu) Tahun</t>
  </si>
  <si>
    <t>2 Januari 2026</t>
  </si>
  <si>
    <t>31 Desember 2026</t>
  </si>
  <si>
    <t>Belanja Jasa Tenaga Terampil Programer</t>
  </si>
  <si>
    <t>Muhammad Bayu Nurdiansyah Putra</t>
  </si>
  <si>
    <t>Belanja Modal Personal Computer</t>
  </si>
  <si>
    <t>Putera Intan Mandiri</t>
  </si>
  <si>
    <t>3 (tiga) Hari</t>
  </si>
  <si>
    <t>30 Januari 2026</t>
  </si>
  <si>
    <t>2 Februari 2026</t>
  </si>
  <si>
    <t>Belanja Modal Peralatan Personal Computer (Printer)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</si>
</sst>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43" fontId="3" fillId="3" borderId="2" xfId="1" applyFont="1" applyFill="1" applyBorder="1" applyAlignment="1">
      <alignment horizontal="right" vertical="center"/>
    </xf>
    <xf numFmtId="43" fontId="4" fillId="3" borderId="2" xfId="1" applyFont="1" applyFill="1" applyBorder="1" applyAlignment="1">
      <alignment horizontal="right" vertical="center" shrinkToFit="1"/>
    </xf>
    <xf numFmtId="0" fontId="3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10" fontId="5" fillId="0" borderId="2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3" fontId="3" fillId="3" borderId="2" xfId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43" fontId="5" fillId="0" borderId="2" xfId="1" applyFont="1" applyFill="1" applyBorder="1" applyAlignment="1">
      <alignment horizontal="center" vertical="center"/>
    </xf>
    <xf numFmtId="9" fontId="5" fillId="0" borderId="2" xfId="2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6E2C-E4F3-4DF7-AD97-E4ACB9A3A6A2}">
  <dimension ref="A1:P5"/>
  <sheetViews>
    <sheetView tabSelected="1" workbookViewId="0">
      <selection activeCell="H9" sqref="H9"/>
    </sheetView>
  </sheetViews>
  <sheetFormatPr defaultRowHeight="14.4" x14ac:dyDescent="0.3"/>
  <cols>
    <col min="7" max="8" width="10.77734375" bestFit="1" customWidth="1"/>
    <col min="15" max="15" width="10" bestFit="1" customWidth="1"/>
  </cols>
  <sheetData>
    <row r="1" spans="1:16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61.2" x14ac:dyDescent="0.3">
      <c r="A2" s="5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8">
        <v>48000000</v>
      </c>
      <c r="H2" s="9">
        <v>48000000</v>
      </c>
      <c r="I2" s="10" t="s">
        <v>7</v>
      </c>
      <c r="J2" s="11" t="s">
        <v>8</v>
      </c>
      <c r="K2" s="11" t="s">
        <v>9</v>
      </c>
      <c r="L2" s="11" t="s">
        <v>10</v>
      </c>
      <c r="M2" s="12">
        <f>O2/H2</f>
        <v>8.3333333333333329E-2</v>
      </c>
      <c r="N2" s="12">
        <f>O2/H2</f>
        <v>8.3333333333333329E-2</v>
      </c>
      <c r="O2" s="9">
        <f>(H2/12)*1</f>
        <v>4000000</v>
      </c>
      <c r="P2" s="13"/>
    </row>
    <row r="3" spans="1:16" ht="40.799999999999997" x14ac:dyDescent="0.3">
      <c r="A3" s="5">
        <v>2</v>
      </c>
      <c r="B3" s="6" t="s">
        <v>11</v>
      </c>
      <c r="C3" s="6" t="s">
        <v>3</v>
      </c>
      <c r="D3" s="7" t="s">
        <v>4</v>
      </c>
      <c r="E3" s="7" t="s">
        <v>5</v>
      </c>
      <c r="F3" s="7" t="s">
        <v>6</v>
      </c>
      <c r="G3" s="14">
        <v>60000000</v>
      </c>
      <c r="H3" s="9">
        <v>60000000</v>
      </c>
      <c r="I3" s="10" t="s">
        <v>12</v>
      </c>
      <c r="J3" s="11" t="s">
        <v>8</v>
      </c>
      <c r="K3" s="11" t="s">
        <v>9</v>
      </c>
      <c r="L3" s="11" t="s">
        <v>10</v>
      </c>
      <c r="M3" s="12">
        <f>O3/H3</f>
        <v>8.3333333333333329E-2</v>
      </c>
      <c r="N3" s="12">
        <f>O3/H3</f>
        <v>8.3333333333333329E-2</v>
      </c>
      <c r="O3" s="9">
        <f>(H3/12)*1</f>
        <v>5000000</v>
      </c>
      <c r="P3" s="13"/>
    </row>
    <row r="4" spans="1:16" ht="30.6" x14ac:dyDescent="0.3">
      <c r="A4" s="5">
        <v>3</v>
      </c>
      <c r="B4" s="15" t="s">
        <v>13</v>
      </c>
      <c r="C4" s="6" t="s">
        <v>3</v>
      </c>
      <c r="D4" s="11" t="s">
        <v>4</v>
      </c>
      <c r="E4" s="11" t="s">
        <v>5</v>
      </c>
      <c r="F4" s="11" t="s">
        <v>6</v>
      </c>
      <c r="G4" s="16">
        <v>14988100</v>
      </c>
      <c r="H4" s="16">
        <v>14985000</v>
      </c>
      <c r="I4" s="11" t="s">
        <v>14</v>
      </c>
      <c r="J4" s="11" t="s">
        <v>15</v>
      </c>
      <c r="K4" s="11" t="s">
        <v>16</v>
      </c>
      <c r="L4" s="11" t="s">
        <v>17</v>
      </c>
      <c r="M4" s="17">
        <v>1</v>
      </c>
      <c r="N4" s="17">
        <v>1</v>
      </c>
      <c r="O4" s="18">
        <f>H4</f>
        <v>14985000</v>
      </c>
      <c r="P4" s="13"/>
    </row>
    <row r="5" spans="1:16" ht="51" x14ac:dyDescent="0.3">
      <c r="A5" s="5">
        <v>4</v>
      </c>
      <c r="B5" s="19" t="s">
        <v>18</v>
      </c>
      <c r="C5" s="6" t="s">
        <v>3</v>
      </c>
      <c r="D5" s="11" t="s">
        <v>4</v>
      </c>
      <c r="E5" s="11" t="s">
        <v>5</v>
      </c>
      <c r="F5" s="11" t="s">
        <v>6</v>
      </c>
      <c r="G5" s="16">
        <v>3550000</v>
      </c>
      <c r="H5" s="16">
        <v>3441000</v>
      </c>
      <c r="I5" s="11" t="s">
        <v>14</v>
      </c>
      <c r="J5" s="11" t="s">
        <v>15</v>
      </c>
      <c r="K5" s="11" t="s">
        <v>16</v>
      </c>
      <c r="L5" s="11" t="s">
        <v>17</v>
      </c>
      <c r="M5" s="17">
        <v>1</v>
      </c>
      <c r="N5" s="17">
        <v>1</v>
      </c>
      <c r="O5" s="18">
        <f>H5</f>
        <v>3441000</v>
      </c>
      <c r="P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</dc:creator>
  <cp:lastModifiedBy>Tomy</cp:lastModifiedBy>
  <dcterms:created xsi:type="dcterms:W3CDTF">2026-03-04T03:20:39Z</dcterms:created>
  <dcterms:modified xsi:type="dcterms:W3CDTF">2026-03-04T03:22:53Z</dcterms:modified>
</cp:coreProperties>
</file>